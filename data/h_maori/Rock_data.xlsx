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alculations" sheetId="2" r:id="rId6"/>
  </sheets>
  <definedNames/>
  <calcPr/>
</workbook>
</file>

<file path=xl/sharedStrings.xml><?xml version="1.0" encoding="utf-8"?>
<sst xmlns="http://schemas.openxmlformats.org/spreadsheetml/2006/main" count="37" uniqueCount="31">
  <si>
    <t>Rock number</t>
  </si>
  <si>
    <t>Total Volume (cm3)</t>
  </si>
  <si>
    <t>Total Surface area (cm2)</t>
  </si>
  <si>
    <t>Total Mass (g)</t>
  </si>
  <si>
    <t>Volume (cm3)</t>
  </si>
  <si>
    <t>Surface area (cm2)</t>
  </si>
  <si>
    <t>Mass (g)</t>
  </si>
  <si>
    <t>Chunk 1 vol</t>
  </si>
  <si>
    <t>Chunk 1 surface area</t>
  </si>
  <si>
    <t>Chunk 1 Mass(g)</t>
  </si>
  <si>
    <t>Chunk 2 vol</t>
  </si>
  <si>
    <t>Chunk 2 surface area</t>
  </si>
  <si>
    <t>Chunk 2 Mass(g)</t>
  </si>
  <si>
    <t>Chunk 3 vol</t>
  </si>
  <si>
    <t>Chunk 3 surface area</t>
  </si>
  <si>
    <t>Chunk 3 Mass(g)</t>
  </si>
  <si>
    <t>Remaining bits volume</t>
  </si>
  <si>
    <t>Remaining bits Surface Area</t>
  </si>
  <si>
    <t>Remaining bits mass</t>
  </si>
  <si>
    <t>Notes</t>
  </si>
  <si>
    <t>Vol + SA of remaining bits calculated from mass</t>
  </si>
  <si>
    <t>8 p 2</t>
  </si>
  <si>
    <t>8 p 3</t>
  </si>
  <si>
    <t>8 p 4</t>
  </si>
  <si>
    <t>Calculated values</t>
  </si>
  <si>
    <t>Volume</t>
  </si>
  <si>
    <t>Surface Area</t>
  </si>
  <si>
    <t>Mass</t>
  </si>
  <si>
    <t>8 remaining bits</t>
  </si>
  <si>
    <t>Vol + SA calculated from mass</t>
  </si>
  <si>
    <t>15 remaining bits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</si>
</sst>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8">
    <border/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5" fillId="0" fontId="1" numFmtId="2" xfId="0" applyAlignment="1" applyBorder="1" applyFont="1" applyNumberFormat="1">
      <alignment readingOrder="0"/>
    </xf>
    <xf borderId="0" fillId="0" fontId="1" numFmtId="2" xfId="0" applyAlignment="1" applyFont="1" applyNumberFormat="1">
      <alignment readingOrder="0"/>
    </xf>
    <xf borderId="7" fillId="2" fontId="1" numFmtId="2" xfId="0" applyBorder="1" applyFont="1" applyNumberFormat="1"/>
    <xf borderId="0" fillId="2" fontId="1" numFmtId="2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2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1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Calculations!$D$1:$D$13</c:f>
            </c:numRef>
          </c:xVal>
          <c:yVal>
            <c:numRef>
              <c:f>Calculations!$B$1:$B$13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122538"/>
        <c:axId val="1509971604"/>
      </c:scatterChart>
      <c:valAx>
        <c:axId val="19971225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971604"/>
      </c:valAx>
      <c:valAx>
        <c:axId val="1509971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122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Calculations!$D$1:$D$13</c:f>
            </c:numRef>
          </c:xVal>
          <c:yVal>
            <c:numRef>
              <c:f>Calculations!$C$1:$C$13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8067"/>
        <c:axId val="1008378012"/>
      </c:scatterChart>
      <c:valAx>
        <c:axId val="1411080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378012"/>
      </c:valAx>
      <c:valAx>
        <c:axId val="1008378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Surface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08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Calculations!$C$2:$C$13</c:f>
            </c:numRef>
          </c:xVal>
          <c:yVal>
            <c:numRef>
              <c:f>Calculations!$B$2:$B$13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12143"/>
        <c:axId val="682190136"/>
      </c:scatterChart>
      <c:valAx>
        <c:axId val="2096121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Surface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190136"/>
      </c:valAx>
      <c:valAx>
        <c:axId val="682190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12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142875</xdr:rowOff>
    </xdr:from>
    <xdr:ext cx="3524250" cy="3390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314325</xdr:colOff>
      <xdr:row>17</xdr:row>
      <xdr:rowOff>142875</xdr:rowOff>
    </xdr:from>
    <xdr:ext cx="3524250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952500</xdr:colOff>
      <xdr:row>17</xdr:row>
      <xdr:rowOff>142875</xdr:rowOff>
    </xdr:from>
    <xdr:ext cx="3524250" cy="3390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10.88"/>
    <col customWidth="1" min="4" max="5" width="7.88"/>
    <col customWidth="1" min="6" max="6" width="9.13"/>
    <col customWidth="1" min="7" max="7" width="9.0"/>
    <col customWidth="1" min="8" max="8" width="7.5"/>
    <col customWidth="1" min="9" max="9" width="10.25"/>
    <col customWidth="1" min="10" max="10" width="7.13"/>
    <col customWidth="1" min="11" max="11" width="7.25"/>
    <col customWidth="1" min="12" max="12" width="10.88"/>
    <col customWidth="1" min="13" max="13" width="8.63"/>
    <col customWidth="1" min="14" max="14" width="6.5"/>
    <col customWidth="1" min="15" max="15" width="10.63"/>
    <col customWidth="1" min="16" max="16" width="7.75"/>
    <col customWidth="1" min="17" max="17" width="10.75"/>
    <col customWidth="1" min="18" max="18" width="10.25"/>
    <col customWidth="1" min="19" max="19" width="9.88"/>
    <col customWidth="1" min="20" max="20" width="39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1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>
      <c r="A2" s="8">
        <v>19.0</v>
      </c>
      <c r="B2" s="9">
        <f t="shared" ref="B2:D2" si="1">SUM(E2,H2,K2,N2,Q2)</f>
        <v>340.87</v>
      </c>
      <c r="C2" s="8">
        <f t="shared" si="1"/>
        <v>887.97</v>
      </c>
      <c r="D2" s="10">
        <f t="shared" si="1"/>
        <v>32.305</v>
      </c>
      <c r="E2" s="8">
        <v>340.87</v>
      </c>
      <c r="F2" s="8">
        <v>887.97</v>
      </c>
      <c r="G2" s="8">
        <v>32.305</v>
      </c>
      <c r="H2" s="11"/>
      <c r="I2" s="8"/>
      <c r="J2" s="8"/>
      <c r="K2" s="11"/>
      <c r="L2" s="8"/>
      <c r="M2" s="8"/>
      <c r="N2" s="11"/>
      <c r="O2" s="8"/>
      <c r="P2" s="8"/>
      <c r="Q2" s="11"/>
      <c r="R2" s="8"/>
      <c r="S2" s="8"/>
    </row>
    <row r="3">
      <c r="A3" s="8">
        <v>18.0</v>
      </c>
      <c r="B3" s="9">
        <f t="shared" ref="B3:D3" si="2">SUM(E3,H3,K3,N3,Q3)</f>
        <v>805.35</v>
      </c>
      <c r="C3" s="8">
        <f t="shared" si="2"/>
        <v>903.81</v>
      </c>
      <c r="D3" s="10">
        <f t="shared" si="2"/>
        <v>58.832</v>
      </c>
      <c r="E3" s="8">
        <v>805.35</v>
      </c>
      <c r="F3" s="8">
        <v>903.81</v>
      </c>
      <c r="G3" s="8">
        <v>58.832</v>
      </c>
      <c r="H3" s="12"/>
      <c r="K3" s="12"/>
      <c r="N3" s="12"/>
      <c r="Q3" s="12"/>
    </row>
    <row r="4">
      <c r="A4" s="8">
        <v>16.0</v>
      </c>
      <c r="B4" s="9">
        <f t="shared" ref="B4:D4" si="3">SUM(E4,H4,K4,N4,Q4)</f>
        <v>385.82</v>
      </c>
      <c r="C4" s="8">
        <f t="shared" si="3"/>
        <v>847.45</v>
      </c>
      <c r="D4" s="10">
        <f t="shared" si="3"/>
        <v>33.447</v>
      </c>
      <c r="E4" s="8">
        <v>385.82</v>
      </c>
      <c r="F4" s="8">
        <v>847.45</v>
      </c>
      <c r="G4" s="8">
        <v>33.447</v>
      </c>
      <c r="H4" s="12"/>
      <c r="K4" s="12"/>
      <c r="N4" s="12"/>
      <c r="Q4" s="12"/>
    </row>
    <row r="5">
      <c r="A5" s="8">
        <v>6.0</v>
      </c>
      <c r="B5" s="9">
        <f t="shared" ref="B5:D5" si="4">SUM(E5,H5,K5,N5,Q5)</f>
        <v>800.92</v>
      </c>
      <c r="C5" s="8">
        <f t="shared" si="4"/>
        <v>1271.86</v>
      </c>
      <c r="D5" s="10">
        <f t="shared" si="4"/>
        <v>54.144</v>
      </c>
      <c r="E5" s="8">
        <v>800.92</v>
      </c>
      <c r="F5" s="8">
        <v>1271.86</v>
      </c>
      <c r="G5" s="8">
        <v>54.144</v>
      </c>
      <c r="H5" s="12"/>
      <c r="K5" s="12"/>
      <c r="N5" s="12"/>
      <c r="Q5" s="12"/>
    </row>
    <row r="6">
      <c r="A6" s="8">
        <v>11.0</v>
      </c>
      <c r="B6" s="9">
        <f t="shared" ref="B6:D6" si="5">SUM(E6,H6,K6,N6,Q6)</f>
        <v>3071.41</v>
      </c>
      <c r="C6" s="8">
        <f t="shared" si="5"/>
        <v>2663.51</v>
      </c>
      <c r="D6" s="10">
        <f t="shared" si="5"/>
        <v>191.969</v>
      </c>
      <c r="E6" s="8">
        <v>3071.41</v>
      </c>
      <c r="F6" s="8">
        <v>2663.51</v>
      </c>
      <c r="G6" s="8">
        <v>191.969</v>
      </c>
      <c r="H6" s="12"/>
      <c r="K6" s="12"/>
      <c r="N6" s="12"/>
      <c r="Q6" s="12"/>
    </row>
    <row r="7">
      <c r="A7" s="8">
        <v>17.0</v>
      </c>
      <c r="B7" s="9">
        <f t="shared" ref="B7:D7" si="6">SUM(E7,H7,K7,N7,Q7)</f>
        <v>1586.29</v>
      </c>
      <c r="C7" s="8">
        <f t="shared" si="6"/>
        <v>2070.19</v>
      </c>
      <c r="D7" s="10">
        <f t="shared" si="6"/>
        <v>104.279</v>
      </c>
      <c r="E7" s="8">
        <v>1586.29</v>
      </c>
      <c r="F7" s="8">
        <v>2070.19</v>
      </c>
      <c r="G7" s="8">
        <v>104.279</v>
      </c>
      <c r="H7" s="12"/>
      <c r="K7" s="12"/>
      <c r="N7" s="12"/>
      <c r="Q7" s="12"/>
    </row>
    <row r="8">
      <c r="A8" s="8">
        <v>22.0</v>
      </c>
      <c r="B8" s="9">
        <f t="shared" ref="B8:D8" si="7">SUM(E8,H8,K8,N8,Q8)</f>
        <v>187.54</v>
      </c>
      <c r="C8" s="8">
        <f t="shared" si="7"/>
        <v>663.22</v>
      </c>
      <c r="D8" s="10">
        <f t="shared" si="7"/>
        <v>27.871</v>
      </c>
      <c r="E8" s="8">
        <v>187.54</v>
      </c>
      <c r="F8" s="8">
        <v>663.22</v>
      </c>
      <c r="G8" s="8">
        <v>27.871</v>
      </c>
      <c r="H8" s="12"/>
      <c r="K8" s="12"/>
      <c r="N8" s="12"/>
      <c r="Q8" s="12"/>
    </row>
    <row r="9">
      <c r="A9" s="8">
        <v>8.0</v>
      </c>
      <c r="B9" s="13">
        <f t="shared" ref="B9:D9" si="8">SUM(E9,H9,K9,N9,Q9)</f>
        <v>1073.308606</v>
      </c>
      <c r="C9" s="14">
        <f t="shared" si="8"/>
        <v>2078.631527</v>
      </c>
      <c r="D9" s="10">
        <f t="shared" si="8"/>
        <v>64.38</v>
      </c>
      <c r="E9" s="8">
        <v>637.84</v>
      </c>
      <c r="F9" s="8">
        <v>844.01</v>
      </c>
      <c r="G9" s="8">
        <v>40.271</v>
      </c>
      <c r="H9" s="11">
        <v>44.4</v>
      </c>
      <c r="I9" s="8">
        <v>190.6</v>
      </c>
      <c r="J9" s="8">
        <v>4.035</v>
      </c>
      <c r="K9" s="11">
        <v>162.79</v>
      </c>
      <c r="L9" s="8">
        <v>387.96</v>
      </c>
      <c r="M9" s="8">
        <v>2.824</v>
      </c>
      <c r="N9" s="11">
        <v>82.97</v>
      </c>
      <c r="O9" s="8">
        <v>140.51</v>
      </c>
      <c r="P9" s="8">
        <v>3.477</v>
      </c>
      <c r="Q9" s="15">
        <f>Calculations!B16</f>
        <v>145.3086061</v>
      </c>
      <c r="R9" s="16">
        <f>Calculations!C16</f>
        <v>515.5515271</v>
      </c>
      <c r="S9" s="17">
        <v>13.773</v>
      </c>
      <c r="T9" s="17" t="s">
        <v>20</v>
      </c>
    </row>
    <row r="10">
      <c r="A10" s="8">
        <v>15.0</v>
      </c>
      <c r="B10" s="13">
        <f t="shared" ref="B10:D10" si="9">SUM(E10,H10,K10,N10,Q10)</f>
        <v>727.9118061</v>
      </c>
      <c r="C10" s="14">
        <f t="shared" si="9"/>
        <v>1665.21932</v>
      </c>
      <c r="D10" s="10">
        <f t="shared" si="9"/>
        <v>60.032</v>
      </c>
      <c r="E10" s="8">
        <v>683.03</v>
      </c>
      <c r="F10" s="8">
        <v>1234.03</v>
      </c>
      <c r="G10" s="8">
        <v>52.541</v>
      </c>
      <c r="H10" s="12"/>
      <c r="K10" s="12"/>
      <c r="N10" s="12"/>
      <c r="Q10" s="15">
        <f>Calculations!B17</f>
        <v>44.88180605</v>
      </c>
      <c r="R10" s="18">
        <f>Calculations!C17</f>
        <v>431.1893201</v>
      </c>
      <c r="S10" s="17">
        <v>7.491</v>
      </c>
      <c r="T10" s="17" t="s">
        <v>20</v>
      </c>
    </row>
    <row r="11">
      <c r="A11" s="19">
        <v>10.0</v>
      </c>
      <c r="B11" s="20"/>
      <c r="C11" s="21"/>
      <c r="D11" s="22"/>
      <c r="E11" s="21"/>
      <c r="F11" s="21"/>
      <c r="G11" s="19">
        <v>157.501</v>
      </c>
      <c r="H11" s="23"/>
      <c r="I11" s="21"/>
      <c r="J11" s="21"/>
      <c r="K11" s="23"/>
      <c r="L11" s="21"/>
      <c r="M11" s="21"/>
      <c r="N11" s="23"/>
      <c r="O11" s="21"/>
      <c r="P11" s="21"/>
      <c r="Q11" s="23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4" t="s">
        <v>0</v>
      </c>
      <c r="B1" s="24" t="s">
        <v>4</v>
      </c>
      <c r="C1" s="24" t="s">
        <v>5</v>
      </c>
      <c r="D1" s="24" t="s">
        <v>6</v>
      </c>
    </row>
    <row r="2">
      <c r="A2" s="8">
        <v>19.0</v>
      </c>
      <c r="B2" s="8">
        <v>340.87</v>
      </c>
      <c r="C2" s="8">
        <v>887.97</v>
      </c>
      <c r="D2" s="8">
        <v>32.305</v>
      </c>
    </row>
    <row r="3">
      <c r="A3" s="8">
        <v>18.0</v>
      </c>
      <c r="B3" s="8">
        <v>805.35</v>
      </c>
      <c r="C3" s="8">
        <v>903.81</v>
      </c>
      <c r="D3" s="8">
        <v>58.832</v>
      </c>
    </row>
    <row r="4">
      <c r="A4" s="8">
        <v>16.0</v>
      </c>
      <c r="B4" s="8">
        <v>385.82</v>
      </c>
      <c r="C4" s="8">
        <v>847.45</v>
      </c>
      <c r="D4" s="8">
        <v>33.447</v>
      </c>
    </row>
    <row r="5">
      <c r="A5" s="8">
        <v>6.0</v>
      </c>
      <c r="B5" s="8">
        <v>800.92</v>
      </c>
      <c r="C5" s="8">
        <v>1271.86</v>
      </c>
      <c r="D5" s="8">
        <v>54.144</v>
      </c>
    </row>
    <row r="6">
      <c r="A6" s="8">
        <v>11.0</v>
      </c>
      <c r="B6" s="8">
        <v>3071.41</v>
      </c>
      <c r="C6" s="8">
        <v>2663.51</v>
      </c>
      <c r="D6" s="8">
        <v>191.969</v>
      </c>
    </row>
    <row r="7">
      <c r="A7" s="8">
        <v>17.0</v>
      </c>
      <c r="B7" s="8">
        <v>1586.29</v>
      </c>
      <c r="C7" s="8">
        <v>2070.19</v>
      </c>
      <c r="D7" s="8">
        <v>104.279</v>
      </c>
    </row>
    <row r="8">
      <c r="A8" s="8">
        <v>22.0</v>
      </c>
      <c r="B8" s="8">
        <v>187.54</v>
      </c>
      <c r="C8" s="8">
        <v>663.22</v>
      </c>
      <c r="D8" s="8">
        <v>27.871</v>
      </c>
    </row>
    <row r="9">
      <c r="A9" s="8">
        <v>8.0</v>
      </c>
      <c r="B9" s="8">
        <v>637.84</v>
      </c>
      <c r="C9" s="8">
        <v>844.01</v>
      </c>
      <c r="D9" s="8">
        <v>40.271</v>
      </c>
    </row>
    <row r="10">
      <c r="A10" s="8">
        <v>15.0</v>
      </c>
      <c r="B10" s="8">
        <v>683.03</v>
      </c>
      <c r="C10" s="8">
        <v>1234.03</v>
      </c>
      <c r="D10" s="8">
        <v>52.541</v>
      </c>
    </row>
    <row r="11">
      <c r="A11" s="25" t="s">
        <v>21</v>
      </c>
      <c r="B11" s="8">
        <v>44.4</v>
      </c>
      <c r="C11" s="8">
        <v>190.6</v>
      </c>
      <c r="D11" s="8">
        <v>4.035</v>
      </c>
    </row>
    <row r="12">
      <c r="A12" s="25" t="s">
        <v>22</v>
      </c>
      <c r="B12" s="8">
        <v>162.79</v>
      </c>
      <c r="C12" s="8">
        <v>387.96</v>
      </c>
      <c r="D12" s="8">
        <v>2.824</v>
      </c>
    </row>
    <row r="13">
      <c r="A13" s="25" t="s">
        <v>23</v>
      </c>
      <c r="B13" s="8">
        <v>82.97</v>
      </c>
      <c r="C13" s="8">
        <v>140.51</v>
      </c>
      <c r="D13" s="8">
        <v>3.477</v>
      </c>
    </row>
    <row r="15">
      <c r="A15" s="8" t="s">
        <v>24</v>
      </c>
      <c r="B15" s="8" t="s">
        <v>25</v>
      </c>
      <c r="C15" s="8" t="s">
        <v>26</v>
      </c>
      <c r="D15" s="8" t="s">
        <v>27</v>
      </c>
    </row>
    <row r="16">
      <c r="A16" s="8" t="s">
        <v>28</v>
      </c>
      <c r="B16" s="26">
        <f t="array" ref="B16">TREND(B2:B13,D2:D13,D16)</f>
        <v>145.3086061</v>
      </c>
      <c r="C16" s="26">
        <f t="array" ref="C16">TREND(C2:C13,D2:D13,D16)</f>
        <v>515.5515271</v>
      </c>
      <c r="D16" s="17">
        <v>13.773</v>
      </c>
      <c r="E16" s="8" t="s">
        <v>29</v>
      </c>
    </row>
    <row r="17">
      <c r="A17" s="8" t="s">
        <v>30</v>
      </c>
      <c r="B17" s="26">
        <f t="array" ref="B17">TREND(B2:B13,D2:D13,D17)</f>
        <v>44.88180605</v>
      </c>
      <c r="C17" s="26">
        <f t="array" ref="C17">TREND(C2:C13,D2:D13,D17)</f>
        <v>431.1893201</v>
      </c>
      <c r="D17" s="17">
        <v>7.491</v>
      </c>
      <c r="E17" s="8" t="s">
        <v>29</v>
      </c>
    </row>
  </sheetData>
  <drawing r:id="rId1"/>
</worksheet>
</file>